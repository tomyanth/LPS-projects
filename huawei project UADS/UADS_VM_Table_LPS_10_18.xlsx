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lenovo-my.sharepoint.com/personal/klau6_lenovo_com/Documents/Desktop/UADS/"/>
    </mc:Choice>
  </mc:AlternateContent>
  <xr:revisionPtr revIDLastSave="5" documentId="8_{B510F57A-9009-4EA0-AF43-277F660E5EDF}" xr6:coauthVersionLast="47" xr6:coauthVersionMax="47" xr10:uidLastSave="{7B70F793-5F21-4814-8F50-900532F406EC}"/>
  <bookViews>
    <workbookView xWindow="10" yWindow="10" windowWidth="19190" windowHeight="10070" xr2:uid="{00000000-000D-0000-FFFF-FFFF00000000}"/>
  </bookViews>
  <sheets>
    <sheet name="PROD " sheetId="1" r:id="rId1"/>
    <sheet name="Non-PROD" sheetId="2" r:id="rId2"/>
  </sheets>
  <definedNames>
    <definedName name="_xlnm._FilterDatabase" localSheetId="1" hidden="1">'Non-PROD'!$B$2:$N$27</definedName>
    <definedName name="_xlnm._FilterDatabase" localSheetId="0" hidden="1">'PROD '!$B$2:$N$44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2" l="1"/>
  <c r="I35" i="2"/>
  <c r="I33" i="2"/>
  <c r="I32" i="2"/>
  <c r="I31" i="2"/>
  <c r="I30" i="2"/>
  <c r="I29" i="2"/>
  <c r="I51" i="1"/>
  <c r="I50" i="1"/>
  <c r="I49" i="1"/>
  <c r="I48" i="1"/>
  <c r="I47" i="1"/>
  <c r="I46" i="1"/>
  <c r="I5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LAI Lap Fai</author>
  </authors>
  <commentList>
    <comment ref="N2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LAI Lap Fai:</t>
        </r>
        <r>
          <rPr>
            <sz val="9"/>
            <color indexed="81"/>
            <rFont val="Tahoma"/>
            <family val="2"/>
          </rPr>
          <t xml:space="preserve">
The device is treated as production since it also stores production offline backup copy.</t>
        </r>
      </text>
    </comment>
  </commentList>
</comments>
</file>

<file path=xl/sharedStrings.xml><?xml version="1.0" encoding="utf-8"?>
<sst xmlns="http://schemas.openxmlformats.org/spreadsheetml/2006/main" count="429" uniqueCount="216">
  <si>
    <t>Hostname</t>
  </si>
  <si>
    <t>Phy / VM</t>
  </si>
  <si>
    <t>IP Address</t>
  </si>
  <si>
    <t>Subnet Mask</t>
  </si>
  <si>
    <t>Default Gateway</t>
  </si>
  <si>
    <t>PROD NFS Server 1</t>
  </si>
  <si>
    <t>PROD NFS Server 2</t>
  </si>
  <si>
    <t>PROD Master Node 1</t>
  </si>
  <si>
    <t>PROD Master Node 2</t>
  </si>
  <si>
    <t>PROD Master Node 3</t>
  </si>
  <si>
    <t>PROD Worker Node 11</t>
  </si>
  <si>
    <t>PROD Worker Node 12</t>
  </si>
  <si>
    <t>PROD Worker Node 13</t>
  </si>
  <si>
    <t>PROD Worker Node 21</t>
  </si>
  <si>
    <t>PROD Worker Node 22</t>
  </si>
  <si>
    <t>PROD Worker Node 23</t>
  </si>
  <si>
    <t>PROD CICD</t>
  </si>
  <si>
    <t>PROD DCS Physical Server 1 Service Interface</t>
  </si>
  <si>
    <t>PROD DCS Physical Server 1 HCI (Software Defined Storage) Interface</t>
  </si>
  <si>
    <t>PROD DCS Physical Server 2 Service Interface</t>
  </si>
  <si>
    <t>PROD DCS Physical Server 2 HCI (Software Defined Storage) Interface</t>
  </si>
  <si>
    <t>PROD DCS Physical Server 3 Service Interface</t>
  </si>
  <si>
    <t>PROD DCS Physical Server 3 HCI (Software Defined Storage) Interface</t>
  </si>
  <si>
    <t>PROD DCS Physical Server 1 Backup Interface</t>
  </si>
  <si>
    <t>PROD DCS Physical Server 3 Backup Interface</t>
  </si>
  <si>
    <t>PROD DCS Physical Server 2 Backup Interface</t>
  </si>
  <si>
    <t xml:space="preserve">PROD PostreqSQL Server 1 Service </t>
  </si>
  <si>
    <t xml:space="preserve">PROD PostreqSQL Server 1 Heartbeat </t>
  </si>
  <si>
    <t xml:space="preserve">PROD PostreqSQL Server 2 Service </t>
  </si>
  <si>
    <t xml:space="preserve">PROD PostreqSQL Server 2 Heartbeat </t>
  </si>
  <si>
    <t>PROD NFS Server 1 Heartbeat</t>
  </si>
  <si>
    <t>PROD NFS Server 2 Heartbeat</t>
  </si>
  <si>
    <t>PROD CICD Backup</t>
  </si>
  <si>
    <t>PROD Load Balancer + NAT (nginx) Server 1 Service</t>
  </si>
  <si>
    <t>PROD Load Balancer + NAT (nginx) Server 1 Backup</t>
  </si>
  <si>
    <t>PROD Load Balancer + NAT (nginx) Server 2 Service</t>
  </si>
  <si>
    <t>PROD Load Balancer + NAT (nginx) Server 2 Backup</t>
  </si>
  <si>
    <t>Interface Name</t>
  </si>
  <si>
    <t>A</t>
  </si>
  <si>
    <t>E</t>
  </si>
  <si>
    <t>B</t>
  </si>
  <si>
    <t>C</t>
  </si>
  <si>
    <t>D</t>
  </si>
  <si>
    <t xml:space="preserve">PROD Backup Appliance Backup service </t>
  </si>
  <si>
    <t>PROD DCS Physical Server 1 Hardware Management Interface (1Gbe)</t>
  </si>
  <si>
    <t>PROD DCS Physical Server 2 Hardware Management Interface (1Gbe)</t>
  </si>
  <si>
    <t>PROD DCS Physical Server 3 Hardware Management Interface (1Gbe)</t>
  </si>
  <si>
    <t>F</t>
  </si>
  <si>
    <t>H</t>
  </si>
  <si>
    <t>J</t>
  </si>
  <si>
    <t>Subnet</t>
  </si>
  <si>
    <t>K</t>
  </si>
  <si>
    <t>Non-PROD DCS Physical Server 1 Service Interface</t>
  </si>
  <si>
    <t>Non-PROD DCS Physical Server 1 Backup Interface</t>
  </si>
  <si>
    <t>Non-PROD DCS Physical Server 1 Hardware Management Interface (1Gbe)</t>
  </si>
  <si>
    <t xml:space="preserve">Non-PROD PostreqSQL Server 1 Service </t>
  </si>
  <si>
    <t xml:space="preserve">Non-PROD PostreqSQL Server 1 Heartbeat </t>
  </si>
  <si>
    <t>Non-PROD NFS Server 1</t>
  </si>
  <si>
    <t>Non-PROD NFS Server 1 Heartbeat</t>
  </si>
  <si>
    <t>Non-PROD Master Node 1</t>
  </si>
  <si>
    <t>Non-PROD Master Node 2</t>
  </si>
  <si>
    <t>Non-PROD Master Node 3</t>
  </si>
  <si>
    <t>Non-PROD Worker Node 11</t>
  </si>
  <si>
    <t>Non-PROD Worker Node 12</t>
  </si>
  <si>
    <t>Non-PROD Worker Node 13</t>
  </si>
  <si>
    <t>Non-PROD Worker Node 21</t>
  </si>
  <si>
    <t>Non-PROD Worker Node 22</t>
  </si>
  <si>
    <t>Non-PROD Worker Node 23</t>
  </si>
  <si>
    <t>Non-PROD CICD</t>
  </si>
  <si>
    <t>Non-PROD CICD Backup</t>
  </si>
  <si>
    <t xml:space="preserve">Non-PROD Backup Appliance Backup service </t>
  </si>
  <si>
    <t>Non-PROD Backup Appliance Backup Management  interface</t>
  </si>
  <si>
    <t>L</t>
  </si>
  <si>
    <t>Non-PROD Backup Appliance - Air-Gap Network</t>
  </si>
  <si>
    <t>PROD Backup Appliance - Air-Gap Network</t>
  </si>
  <si>
    <t>PHY</t>
  </si>
  <si>
    <t>VM</t>
  </si>
  <si>
    <t>Non-PROD Load Balancer (nginx) Server 1 Service</t>
  </si>
  <si>
    <t>Non-PROD Load Balancer (nginx) Server 1 Backup</t>
  </si>
  <si>
    <t>A - G-Net can be connected</t>
  </si>
  <si>
    <t xml:space="preserve">B - Private Subnet only, for Software Defined Storage </t>
  </si>
  <si>
    <t>PROD Backup Appliance hardware Management  interface</t>
  </si>
  <si>
    <t>D - Desktop can be connected, for hardware management purpose</t>
  </si>
  <si>
    <t>C - Private Subnet only, for backup purpose</t>
  </si>
  <si>
    <t>E - Private Subnet Only, for heartbeat</t>
  </si>
  <si>
    <t>F - Private Subnet Only, for Air-Gap</t>
  </si>
  <si>
    <t>H - G-Net can be connected</t>
  </si>
  <si>
    <t>J - Private Subnet only, for backup purpose</t>
  </si>
  <si>
    <t>K - Desktop can be connected, for hardware management purpose</t>
  </si>
  <si>
    <t>L - Private Subnet Only, for heartbeat</t>
  </si>
  <si>
    <t>M - Private Subnet Only, for Air-Gap</t>
  </si>
  <si>
    <t>D</t>
    <phoneticPr fontId="3" type="noConversion"/>
  </si>
  <si>
    <t>CEXUALDC1VM01</t>
    <phoneticPr fontId="3" type="noConversion"/>
  </si>
  <si>
    <t>CEXUALDC1VM02</t>
    <phoneticPr fontId="3" type="noConversion"/>
  </si>
  <si>
    <t>CEXUALDC1VM03</t>
    <phoneticPr fontId="3" type="noConversion"/>
  </si>
  <si>
    <t>CEXUALDC1DB01</t>
    <phoneticPr fontId="3" type="noConversion"/>
  </si>
  <si>
    <t>CEXUALDC1DB02</t>
    <phoneticPr fontId="3" type="noConversion"/>
  </si>
  <si>
    <t>CEXUALDC1MA01</t>
    <phoneticPr fontId="3" type="noConversion"/>
  </si>
  <si>
    <t>CEXUALDC1MA02</t>
    <phoneticPr fontId="3" type="noConversion"/>
  </si>
  <si>
    <t>CEXUALDC1MA03</t>
    <phoneticPr fontId="3" type="noConversion"/>
  </si>
  <si>
    <t>CEXUALDC1WK01</t>
    <phoneticPr fontId="3" type="noConversion"/>
  </si>
  <si>
    <t>CEXUALDC1WK02</t>
    <phoneticPr fontId="3" type="noConversion"/>
  </si>
  <si>
    <t>CEXUALDC1WK03</t>
    <phoneticPr fontId="3" type="noConversion"/>
  </si>
  <si>
    <t>CEXUALDC1WK04</t>
    <phoneticPr fontId="3" type="noConversion"/>
  </si>
  <si>
    <t>CEXUALDC1WK05</t>
    <phoneticPr fontId="3" type="noConversion"/>
  </si>
  <si>
    <t>CEXUALDC1WK06</t>
    <phoneticPr fontId="3" type="noConversion"/>
  </si>
  <si>
    <t>CEXUALDC1MS01</t>
    <phoneticPr fontId="3" type="noConversion"/>
  </si>
  <si>
    <t>CEXUALDC1LB01</t>
    <phoneticPr fontId="3" type="noConversion"/>
  </si>
  <si>
    <t>CEXUALDC1LB02</t>
    <phoneticPr fontId="3" type="noConversion"/>
  </si>
  <si>
    <t>CEXUALDC1TL01</t>
    <phoneticPr fontId="3" type="noConversion"/>
  </si>
  <si>
    <t>CEXUALDC1TL02</t>
    <phoneticPr fontId="3" type="noConversion"/>
  </si>
  <si>
    <t>10.12.xx.xx</t>
    <phoneticPr fontId="3" type="noConversion"/>
  </si>
  <si>
    <t>192.168.xx.xx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</si>
  <si>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</si>
  <si>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</si>
  <si>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</si>
  <si>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E</t>
    <phoneticPr fontId="3" type="noConversion"/>
  </si>
  <si>
    <t>F</t>
    <phoneticPr fontId="3" type="noConversion"/>
  </si>
  <si>
    <t>Count</t>
    <phoneticPr fontId="3" type="noConversion"/>
  </si>
  <si>
    <t>H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</si>
  <si>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</si>
  <si>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</si>
  <si>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</si>
  <si>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M</t>
    <phoneticPr fontId="3" type="noConversion"/>
  </si>
  <si>
    <t>D - Desktop can be connected, for hardware management purpose</t>
    <phoneticPr fontId="3" type="noConversion"/>
  </si>
  <si>
    <t>CEXUALDC1VM81</t>
    <phoneticPr fontId="3" type="noConversion"/>
  </si>
  <si>
    <t>CEXUALDC1DB81</t>
    <phoneticPr fontId="3" type="noConversion"/>
  </si>
  <si>
    <t>CEXUALDC1LB81</t>
    <phoneticPr fontId="3" type="noConversion"/>
  </si>
  <si>
    <t>CEXUALDC1MS81</t>
    <phoneticPr fontId="3" type="noConversion"/>
  </si>
  <si>
    <t>CEXUALDC1WK81</t>
    <phoneticPr fontId="3" type="noConversion"/>
  </si>
  <si>
    <t>CEXUALDC1WK82</t>
    <phoneticPr fontId="3" type="noConversion"/>
  </si>
  <si>
    <t>CEXUALDC1WK83</t>
    <phoneticPr fontId="3" type="noConversion"/>
  </si>
  <si>
    <t>CEXUALDC1WK84</t>
    <phoneticPr fontId="3" type="noConversion"/>
  </si>
  <si>
    <t>CEXUALDC1WK85</t>
    <phoneticPr fontId="3" type="noConversion"/>
  </si>
  <si>
    <t>CEXUALDC1WK86</t>
    <phoneticPr fontId="3" type="noConversion"/>
  </si>
  <si>
    <t>CEXUALDC1MA81</t>
    <phoneticPr fontId="3" type="noConversion"/>
  </si>
  <si>
    <t>CEXUALDC1MA82</t>
    <phoneticPr fontId="3" type="noConversion"/>
  </si>
  <si>
    <t>CEXUALDC1MA83</t>
    <phoneticPr fontId="3" type="noConversion"/>
  </si>
  <si>
    <t>CEXUALDC1FS81</t>
    <phoneticPr fontId="3" type="noConversion"/>
  </si>
  <si>
    <t>CEXUALDC1FS01</t>
    <phoneticPr fontId="3" type="noConversion"/>
  </si>
  <si>
    <t>CEXUALDC1FS02</t>
    <phoneticPr fontId="3" type="noConversion"/>
  </si>
  <si>
    <t>E ?</t>
  </si>
  <si>
    <t>L ?</t>
  </si>
  <si>
    <t>Functions</t>
  </si>
  <si>
    <t>CPU</t>
  </si>
  <si>
    <t>Memory</t>
  </si>
  <si>
    <t>2 x 48C</t>
  </si>
  <si>
    <t>384 G</t>
  </si>
  <si>
    <t>4T x 5</t>
  </si>
  <si>
    <t>Disk</t>
  </si>
  <si>
    <t>384G</t>
  </si>
  <si>
    <t>2.5T</t>
  </si>
  <si>
    <t>2.5 T</t>
  </si>
  <si>
    <t>2T</t>
  </si>
  <si>
    <t>PostgresSQL (active-Standby)</t>
  </si>
  <si>
    <t>NFS (HA)</t>
  </si>
  <si>
    <t>Master Node 1</t>
  </si>
  <si>
    <t>Master Node 2</t>
  </si>
  <si>
    <t>Master Node 3</t>
  </si>
  <si>
    <t>300G</t>
  </si>
  <si>
    <t xml:space="preserve">Worker node - application </t>
  </si>
  <si>
    <t>Worker node - elastic log search</t>
  </si>
  <si>
    <t>Worker node  - MQ, MiniIO</t>
  </si>
  <si>
    <t>App Gateway+Load Balancer+NAT</t>
  </si>
  <si>
    <t>CICD - GITea + Jenkins + Helm</t>
  </si>
  <si>
    <t>2 x 64C</t>
  </si>
  <si>
    <t>512G</t>
  </si>
  <si>
    <t>1.5T</t>
  </si>
  <si>
    <t>3T</t>
  </si>
  <si>
    <t xml:space="preserve">Master Node 1 </t>
  </si>
  <si>
    <t>Worker Node - MQ, MinIQ</t>
  </si>
  <si>
    <t>Worker Node - Application</t>
  </si>
  <si>
    <t>Worker Node - App + ElasticLog</t>
  </si>
  <si>
    <t>PROD PostreqSQL Server 1 Backup</t>
  </si>
  <si>
    <t>PROD PostreqSQL Server 2 Backup</t>
  </si>
  <si>
    <t>PROD NFS Server 1 Backup</t>
  </si>
  <si>
    <t>PROD NFS Server 2 Backup</t>
  </si>
  <si>
    <t>Non-PROD PostreqSQL Server 1 Backup</t>
  </si>
  <si>
    <t>Non-PROD NFS Server 1 Backup</t>
  </si>
  <si>
    <t>Vlan ID</t>
  </si>
  <si>
    <t>172.16.1.1/24</t>
  </si>
  <si>
    <t>172.12.2.1/24</t>
  </si>
  <si>
    <t>172.12.3.1/24</t>
  </si>
  <si>
    <t>172.12.4.1/24</t>
  </si>
  <si>
    <t>172.12.5.1/24</t>
  </si>
  <si>
    <t>172.16.6.1/24</t>
  </si>
  <si>
    <t>172.16.7.1/24</t>
  </si>
  <si>
    <t>172.16.1.11</t>
  </si>
  <si>
    <t>172.16.2.11</t>
  </si>
  <si>
    <t>172.16.1.12</t>
  </si>
  <si>
    <t>172.16.2.12</t>
  </si>
  <si>
    <t>172.16.1.13</t>
  </si>
  <si>
    <t>172.16.2.13</t>
  </si>
  <si>
    <t>172.12.2.14</t>
  </si>
  <si>
    <t>172.12.3.11</t>
  </si>
  <si>
    <t>172.16.3.12</t>
  </si>
  <si>
    <t>172.16.2.15</t>
  </si>
  <si>
    <t>172.16.2.16</t>
  </si>
  <si>
    <t>172.16.3.13</t>
  </si>
  <si>
    <t>172.16.2.17</t>
  </si>
  <si>
    <t>172.16.3.14</t>
  </si>
  <si>
    <t>172.16.2.18</t>
  </si>
  <si>
    <t>172.16.2.19</t>
  </si>
  <si>
    <t>172.16.2.20</t>
  </si>
  <si>
    <t>172.16.2.21</t>
  </si>
  <si>
    <t>172.16.4.11</t>
  </si>
  <si>
    <t>/24</t>
  </si>
  <si>
    <t>172.16.5.11</t>
  </si>
  <si>
    <t>172.16.5.12</t>
  </si>
  <si>
    <t>172.16.6.11</t>
  </si>
  <si>
    <t>172.16.5.13</t>
  </si>
  <si>
    <t>172.16.6.12</t>
  </si>
  <si>
    <t>172.16.5.14</t>
  </si>
  <si>
    <t>172.16.5.15</t>
  </si>
  <si>
    <t>172.16.5.16</t>
  </si>
  <si>
    <t>172.16.4.12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</si>
</sst>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36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charset val="136"/>
      <scheme val="minor"/>
    </font>
    <font>
      <sz val="11"/>
      <color rgb="FFFF0000"/>
      <name val="Aptos Narrow"/>
      <family val="1"/>
      <charset val="136"/>
      <scheme val="minor"/>
    </font>
    <font>
      <sz val="11"/>
      <name val="Aptos Narrow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2" borderId="8" xfId="0" applyFill="1" applyBorder="1"/>
    <xf numFmtId="0" fontId="0" fillId="2" borderId="9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1" xfId="0" applyFill="1" applyBorder="1"/>
    <xf numFmtId="0" fontId="0" fillId="3" borderId="6" xfId="0" applyFill="1" applyBorder="1"/>
    <xf numFmtId="0" fontId="1" fillId="0" borderId="4" xfId="0" applyFont="1" applyBorder="1"/>
    <xf numFmtId="0" fontId="1" fillId="0" borderId="1" xfId="0" applyFont="1" applyBorder="1"/>
    <xf numFmtId="0" fontId="1" fillId="0" borderId="5" xfId="0" applyFont="1" applyBorder="1"/>
    <xf numFmtId="0" fontId="2" fillId="0" borderId="9" xfId="0" applyFont="1" applyBorder="1"/>
    <xf numFmtId="0" fontId="2" fillId="3" borderId="1" xfId="0" applyFont="1" applyFill="1" applyBorder="1"/>
    <xf numFmtId="0" fontId="6" fillId="3" borderId="1" xfId="0" applyFont="1" applyFill="1" applyBorder="1"/>
    <xf numFmtId="0" fontId="2" fillId="3" borderId="6" xfId="0" applyFont="1" applyFill="1" applyBorder="1"/>
    <xf numFmtId="0" fontId="0" fillId="3" borderId="9" xfId="0" applyFill="1" applyBorder="1"/>
    <xf numFmtId="0" fontId="0" fillId="0" borderId="7" xfId="0" applyFill="1" applyBorder="1"/>
    <xf numFmtId="0" fontId="7" fillId="3" borderId="6" xfId="0" applyFont="1" applyFill="1" applyBorder="1"/>
    <xf numFmtId="0" fontId="8" fillId="3" borderId="6" xfId="0" applyFont="1" applyFill="1" applyBorder="1"/>
    <xf numFmtId="0" fontId="8" fillId="0" borderId="2" xfId="0" applyFont="1" applyFill="1" applyBorder="1"/>
    <xf numFmtId="0" fontId="0" fillId="3" borderId="1" xfId="0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0" fillId="0" borderId="0" xfId="0" quotePrefix="1"/>
    <xf numFmtId="0" fontId="0" fillId="4" borderId="8" xfId="0" applyFill="1" applyBorder="1"/>
    <xf numFmtId="0" fontId="6" fillId="3" borderId="7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53"/>
  <sheetViews>
    <sheetView tabSelected="1" zoomScale="70" zoomScaleNormal="70" workbookViewId="0">
      <selection activeCell="I49" sqref="I49:L49"/>
    </sheetView>
  </sheetViews>
  <sheetFormatPr defaultRowHeight="14.5" x14ac:dyDescent="0.3"/>
  <cols>
    <col min="2" max="2" width="24.69921875" customWidth="1"/>
    <col min="4" max="4" width="29.3984375" customWidth="1"/>
    <col min="8" max="8" width="14.69921875" customWidth="1"/>
    <col min="9" max="9" width="21.3984375" customWidth="1"/>
    <col min="10" max="10" width="16.3984375" customWidth="1"/>
    <col min="11" max="11" width="6" customWidth="1"/>
    <col min="12" max="12" width="61.8984375" bestFit="1" customWidth="1"/>
    <col min="13" max="13" width="5.3984375" customWidth="1"/>
  </cols>
  <sheetData>
    <row r="1" spans="2:14" ht="15" thickBot="1" x14ac:dyDescent="0.35"/>
    <row r="2" spans="2:14" ht="15.5" thickBot="1" x14ac:dyDescent="0.4">
      <c r="B2" s="15" t="s">
        <v>0</v>
      </c>
      <c r="C2" s="16" t="s">
        <v>1</v>
      </c>
      <c r="D2" s="16" t="s">
        <v>143</v>
      </c>
      <c r="E2" s="16" t="s">
        <v>144</v>
      </c>
      <c r="F2" s="16" t="s">
        <v>145</v>
      </c>
      <c r="G2" s="16" t="s">
        <v>149</v>
      </c>
      <c r="H2" s="16" t="s">
        <v>2</v>
      </c>
      <c r="I2" s="17" t="s">
        <v>3</v>
      </c>
      <c r="J2" s="16" t="s">
        <v>4</v>
      </c>
      <c r="K2" s="17"/>
      <c r="L2" s="16" t="s">
        <v>37</v>
      </c>
      <c r="M2" s="17"/>
      <c r="N2" s="16" t="s">
        <v>50</v>
      </c>
    </row>
    <row r="3" spans="2:14" ht="15" thickBot="1" x14ac:dyDescent="0.35">
      <c r="B3" s="34" t="s">
        <v>92</v>
      </c>
      <c r="C3" s="1" t="s">
        <v>75</v>
      </c>
      <c r="D3" s="5"/>
      <c r="E3" s="5" t="s">
        <v>146</v>
      </c>
      <c r="F3" s="5" t="s">
        <v>147</v>
      </c>
      <c r="G3" s="5" t="s">
        <v>148</v>
      </c>
      <c r="H3" s="11" t="s">
        <v>111</v>
      </c>
      <c r="I3" s="12"/>
      <c r="J3" s="11"/>
      <c r="K3" s="1"/>
      <c r="L3" s="5" t="s">
        <v>17</v>
      </c>
      <c r="M3" s="1"/>
      <c r="N3" s="5" t="s">
        <v>38</v>
      </c>
    </row>
    <row r="4" spans="2:14" ht="15" thickBot="1" x14ac:dyDescent="0.35">
      <c r="B4" s="35"/>
      <c r="C4" s="2"/>
      <c r="D4" s="6"/>
      <c r="E4" s="6"/>
      <c r="F4" s="6"/>
      <c r="G4" s="6"/>
      <c r="H4" s="19" t="s">
        <v>187</v>
      </c>
      <c r="I4" s="21" t="s">
        <v>206</v>
      </c>
      <c r="J4" s="9"/>
      <c r="K4" s="2"/>
      <c r="L4" s="6" t="s">
        <v>18</v>
      </c>
      <c r="M4" s="2"/>
      <c r="N4" s="6" t="s">
        <v>40</v>
      </c>
    </row>
    <row r="5" spans="2:14" ht="15" thickBot="1" x14ac:dyDescent="0.35">
      <c r="B5" s="35"/>
      <c r="C5" s="2"/>
      <c r="D5" s="6"/>
      <c r="E5" s="6"/>
      <c r="F5" s="6"/>
      <c r="G5" s="6"/>
      <c r="H5" s="19" t="s">
        <v>188</v>
      </c>
      <c r="I5" s="21" t="s">
        <v>206</v>
      </c>
      <c r="J5" s="9"/>
      <c r="K5" s="2"/>
      <c r="L5" s="6" t="s">
        <v>23</v>
      </c>
      <c r="M5" s="2"/>
      <c r="N5" s="6" t="s">
        <v>41</v>
      </c>
    </row>
    <row r="6" spans="2:14" ht="15" thickBot="1" x14ac:dyDescent="0.35">
      <c r="B6" s="36"/>
      <c r="C6" s="3"/>
      <c r="D6" s="7"/>
      <c r="E6" s="7"/>
      <c r="F6" s="7"/>
      <c r="G6" s="7"/>
      <c r="H6" s="13" t="s">
        <v>112</v>
      </c>
      <c r="I6" s="14"/>
      <c r="J6" s="22"/>
      <c r="K6" s="3"/>
      <c r="L6" s="7" t="s">
        <v>44</v>
      </c>
      <c r="M6" s="3"/>
      <c r="N6" s="7" t="s">
        <v>42</v>
      </c>
    </row>
    <row r="7" spans="2:14" ht="15" thickBot="1" x14ac:dyDescent="0.35">
      <c r="B7" s="34" t="s">
        <v>93</v>
      </c>
      <c r="C7" s="1" t="s">
        <v>75</v>
      </c>
      <c r="D7" s="5"/>
      <c r="E7" s="5" t="s">
        <v>146</v>
      </c>
      <c r="F7" s="5" t="s">
        <v>150</v>
      </c>
      <c r="G7" s="5" t="s">
        <v>148</v>
      </c>
      <c r="H7" s="11" t="s">
        <v>111</v>
      </c>
      <c r="I7" s="14"/>
      <c r="J7" s="11"/>
      <c r="K7" s="1"/>
      <c r="L7" s="5" t="s">
        <v>19</v>
      </c>
      <c r="M7" s="1"/>
      <c r="N7" s="5" t="s">
        <v>38</v>
      </c>
    </row>
    <row r="8" spans="2:14" ht="15" thickBot="1" x14ac:dyDescent="0.35">
      <c r="B8" s="35"/>
      <c r="C8" s="2"/>
      <c r="D8" s="6"/>
      <c r="E8" s="6"/>
      <c r="F8" s="6"/>
      <c r="G8" s="6"/>
      <c r="H8" s="19" t="s">
        <v>189</v>
      </c>
      <c r="I8" s="21" t="s">
        <v>206</v>
      </c>
      <c r="J8" s="9"/>
      <c r="K8" s="2"/>
      <c r="L8" s="6" t="s">
        <v>20</v>
      </c>
      <c r="M8" s="2"/>
      <c r="N8" s="6" t="s">
        <v>40</v>
      </c>
    </row>
    <row r="9" spans="2:14" ht="15" thickBot="1" x14ac:dyDescent="0.35">
      <c r="B9" s="35"/>
      <c r="C9" s="2"/>
      <c r="D9" s="6"/>
      <c r="E9" s="6"/>
      <c r="F9" s="6"/>
      <c r="G9" s="6"/>
      <c r="H9" s="19" t="s">
        <v>190</v>
      </c>
      <c r="I9" s="21" t="s">
        <v>206</v>
      </c>
      <c r="J9" s="9"/>
      <c r="K9" s="2"/>
      <c r="L9" s="6" t="s">
        <v>25</v>
      </c>
      <c r="M9" s="2"/>
      <c r="N9" s="6" t="s">
        <v>41</v>
      </c>
    </row>
    <row r="10" spans="2:14" ht="15" thickBot="1" x14ac:dyDescent="0.35">
      <c r="B10" s="36"/>
      <c r="C10" s="3"/>
      <c r="D10" s="7"/>
      <c r="E10" s="7"/>
      <c r="F10" s="7"/>
      <c r="G10" s="7"/>
      <c r="H10" s="13" t="s">
        <v>112</v>
      </c>
      <c r="I10" s="14"/>
      <c r="J10" s="22"/>
      <c r="K10" s="3"/>
      <c r="L10" s="7" t="s">
        <v>45</v>
      </c>
      <c r="M10" s="3"/>
      <c r="N10" s="7" t="s">
        <v>42</v>
      </c>
    </row>
    <row r="11" spans="2:14" ht="15" thickBot="1" x14ac:dyDescent="0.35">
      <c r="B11" s="34" t="s">
        <v>94</v>
      </c>
      <c r="C11" s="1" t="s">
        <v>75</v>
      </c>
      <c r="D11" s="5"/>
      <c r="E11" s="5" t="s">
        <v>146</v>
      </c>
      <c r="F11" s="5" t="s">
        <v>150</v>
      </c>
      <c r="G11" s="5" t="s">
        <v>148</v>
      </c>
      <c r="H11" s="11" t="s">
        <v>111</v>
      </c>
      <c r="I11" s="14"/>
      <c r="J11" s="11"/>
      <c r="K11" s="1"/>
      <c r="L11" s="5" t="s">
        <v>21</v>
      </c>
      <c r="M11" s="1"/>
      <c r="N11" s="5" t="s">
        <v>38</v>
      </c>
    </row>
    <row r="12" spans="2:14" ht="15" thickBot="1" x14ac:dyDescent="0.35">
      <c r="B12" s="35"/>
      <c r="C12" s="2"/>
      <c r="D12" s="6"/>
      <c r="E12" s="6"/>
      <c r="F12" s="6"/>
      <c r="G12" s="6"/>
      <c r="H12" s="19" t="s">
        <v>191</v>
      </c>
      <c r="I12" s="21" t="s">
        <v>206</v>
      </c>
      <c r="J12" s="9"/>
      <c r="K12" s="2"/>
      <c r="L12" s="6" t="s">
        <v>22</v>
      </c>
      <c r="M12" s="2"/>
      <c r="N12" s="6" t="s">
        <v>40</v>
      </c>
    </row>
    <row r="13" spans="2:14" ht="15" thickBot="1" x14ac:dyDescent="0.35">
      <c r="B13" s="35"/>
      <c r="C13" s="2"/>
      <c r="D13" s="6"/>
      <c r="E13" s="6"/>
      <c r="F13" s="6"/>
      <c r="G13" s="6"/>
      <c r="H13" s="19" t="s">
        <v>192</v>
      </c>
      <c r="I13" s="21" t="s">
        <v>206</v>
      </c>
      <c r="J13" s="9"/>
      <c r="K13" s="2"/>
      <c r="L13" s="6" t="s">
        <v>24</v>
      </c>
      <c r="M13" s="2"/>
      <c r="N13" s="6" t="s">
        <v>41</v>
      </c>
    </row>
    <row r="14" spans="2:14" ht="15" thickBot="1" x14ac:dyDescent="0.35">
      <c r="B14" s="36"/>
      <c r="C14" s="3"/>
      <c r="D14" s="7"/>
      <c r="E14" s="7"/>
      <c r="F14" s="7"/>
      <c r="G14" s="7"/>
      <c r="H14" s="13" t="s">
        <v>112</v>
      </c>
      <c r="I14" s="14"/>
      <c r="J14" s="22"/>
      <c r="K14" s="3"/>
      <c r="L14" s="7" t="s">
        <v>46</v>
      </c>
      <c r="M14" s="3"/>
      <c r="N14" s="7" t="s">
        <v>42</v>
      </c>
    </row>
    <row r="15" spans="2:14" ht="15" thickBot="1" x14ac:dyDescent="0.35">
      <c r="B15" s="34" t="s">
        <v>95</v>
      </c>
      <c r="C15" s="1" t="s">
        <v>76</v>
      </c>
      <c r="D15" s="5" t="s">
        <v>154</v>
      </c>
      <c r="E15" s="5">
        <v>16</v>
      </c>
      <c r="F15" s="5">
        <v>64</v>
      </c>
      <c r="G15" s="5" t="s">
        <v>151</v>
      </c>
      <c r="H15" s="13" t="s">
        <v>111</v>
      </c>
      <c r="I15" s="14"/>
      <c r="J15" s="11"/>
      <c r="K15" s="1"/>
      <c r="L15" s="5" t="s">
        <v>26</v>
      </c>
      <c r="M15" s="1"/>
      <c r="N15" s="5" t="s">
        <v>38</v>
      </c>
    </row>
    <row r="16" spans="2:14" ht="15" thickBot="1" x14ac:dyDescent="0.35">
      <c r="B16" s="35"/>
      <c r="C16" s="2"/>
      <c r="D16" s="6"/>
      <c r="E16" s="6"/>
      <c r="F16" s="6"/>
      <c r="G16" s="6"/>
      <c r="H16" s="19" t="s">
        <v>193</v>
      </c>
      <c r="I16" s="21" t="s">
        <v>206</v>
      </c>
      <c r="J16" s="30"/>
      <c r="K16" s="2"/>
      <c r="L16" s="6" t="s">
        <v>173</v>
      </c>
      <c r="M16" s="2"/>
      <c r="N16" s="6" t="s">
        <v>41</v>
      </c>
    </row>
    <row r="17" spans="2:15" ht="15" thickBot="1" x14ac:dyDescent="0.35">
      <c r="B17" s="36"/>
      <c r="C17" s="3"/>
      <c r="D17" s="7"/>
      <c r="E17" s="7"/>
      <c r="F17" s="7"/>
      <c r="G17" s="7"/>
      <c r="H17" s="19" t="s">
        <v>194</v>
      </c>
      <c r="I17" s="21" t="s">
        <v>206</v>
      </c>
      <c r="J17" s="10"/>
      <c r="K17" s="3"/>
      <c r="L17" s="7" t="s">
        <v>27</v>
      </c>
      <c r="M17" s="3"/>
      <c r="N17" s="7" t="s">
        <v>39</v>
      </c>
      <c r="O17" s="29"/>
    </row>
    <row r="18" spans="2:15" ht="15" thickBot="1" x14ac:dyDescent="0.35">
      <c r="B18" s="34" t="s">
        <v>96</v>
      </c>
      <c r="C18" s="1" t="s">
        <v>76</v>
      </c>
      <c r="D18" s="5" t="s">
        <v>154</v>
      </c>
      <c r="E18" s="5">
        <v>16</v>
      </c>
      <c r="F18" s="5">
        <v>64</v>
      </c>
      <c r="G18" s="5" t="s">
        <v>152</v>
      </c>
      <c r="H18" s="13" t="s">
        <v>111</v>
      </c>
      <c r="I18" s="14"/>
      <c r="J18" s="11"/>
      <c r="K18" s="1"/>
      <c r="L18" s="5" t="s">
        <v>28</v>
      </c>
      <c r="M18" s="1"/>
      <c r="N18" s="5" t="s">
        <v>38</v>
      </c>
    </row>
    <row r="19" spans="2:15" ht="15" thickBot="1" x14ac:dyDescent="0.35">
      <c r="B19" s="35"/>
      <c r="C19" s="2"/>
      <c r="D19" s="6"/>
      <c r="E19" s="6"/>
      <c r="F19" s="6"/>
      <c r="G19" s="6"/>
      <c r="H19" s="19" t="s">
        <v>196</v>
      </c>
      <c r="I19" s="21" t="s">
        <v>206</v>
      </c>
      <c r="J19" s="30"/>
      <c r="K19" s="2"/>
      <c r="L19" s="6" t="s">
        <v>174</v>
      </c>
      <c r="M19" s="2"/>
      <c r="N19" s="6" t="s">
        <v>41</v>
      </c>
    </row>
    <row r="20" spans="2:15" ht="15" thickBot="1" x14ac:dyDescent="0.35">
      <c r="B20" s="36"/>
      <c r="C20" s="3"/>
      <c r="D20" s="7"/>
      <c r="E20" s="7"/>
      <c r="F20" s="7"/>
      <c r="G20" s="7"/>
      <c r="H20" s="19" t="s">
        <v>195</v>
      </c>
      <c r="I20" s="21" t="s">
        <v>206</v>
      </c>
      <c r="J20" s="10"/>
      <c r="K20" s="3"/>
      <c r="L20" s="7" t="s">
        <v>29</v>
      </c>
      <c r="M20" s="3"/>
      <c r="N20" s="7" t="s">
        <v>39</v>
      </c>
      <c r="O20" s="29"/>
    </row>
    <row r="21" spans="2:15" ht="15" thickBot="1" x14ac:dyDescent="0.35">
      <c r="B21" s="31" t="s">
        <v>139</v>
      </c>
      <c r="C21" s="1" t="s">
        <v>76</v>
      </c>
      <c r="D21" s="5" t="s">
        <v>155</v>
      </c>
      <c r="E21" s="5">
        <v>2</v>
      </c>
      <c r="F21" s="5">
        <v>8</v>
      </c>
      <c r="G21" s="5" t="s">
        <v>153</v>
      </c>
      <c r="H21" s="13" t="s">
        <v>111</v>
      </c>
      <c r="I21" s="14"/>
      <c r="J21" s="11"/>
      <c r="K21" s="1"/>
      <c r="L21" s="5" t="s">
        <v>5</v>
      </c>
      <c r="M21" s="1"/>
      <c r="N21" s="5" t="s">
        <v>38</v>
      </c>
    </row>
    <row r="22" spans="2:15" ht="15" thickBot="1" x14ac:dyDescent="0.35">
      <c r="B22" s="32"/>
      <c r="C22" s="2"/>
      <c r="D22" s="6"/>
      <c r="E22" s="6"/>
      <c r="F22" s="6"/>
      <c r="G22" s="6"/>
      <c r="H22" s="19" t="s">
        <v>197</v>
      </c>
      <c r="I22" s="21" t="s">
        <v>206</v>
      </c>
      <c r="J22" s="30"/>
      <c r="K22" s="2"/>
      <c r="L22" s="6" t="s">
        <v>175</v>
      </c>
      <c r="M22" s="2"/>
      <c r="N22" s="6" t="s">
        <v>41</v>
      </c>
    </row>
    <row r="23" spans="2:15" ht="15" thickBot="1" x14ac:dyDescent="0.35">
      <c r="B23" s="33"/>
      <c r="C23" s="3"/>
      <c r="D23" s="7"/>
      <c r="E23" s="7"/>
      <c r="F23" s="7"/>
      <c r="G23" s="7"/>
      <c r="H23" s="19" t="s">
        <v>198</v>
      </c>
      <c r="I23" s="21" t="s">
        <v>206</v>
      </c>
      <c r="J23" s="10"/>
      <c r="K23" s="3"/>
      <c r="L23" s="7" t="s">
        <v>30</v>
      </c>
      <c r="M23" s="3"/>
      <c r="N23" s="7" t="s">
        <v>39</v>
      </c>
      <c r="O23" s="29"/>
    </row>
    <row r="24" spans="2:15" ht="14.4" customHeight="1" thickBot="1" x14ac:dyDescent="0.35">
      <c r="B24" s="31" t="s">
        <v>140</v>
      </c>
      <c r="C24" s="1" t="s">
        <v>76</v>
      </c>
      <c r="D24" s="5" t="s">
        <v>155</v>
      </c>
      <c r="E24" s="5">
        <v>2</v>
      </c>
      <c r="F24" s="5">
        <v>8</v>
      </c>
      <c r="G24" s="5" t="s">
        <v>153</v>
      </c>
      <c r="H24" s="13" t="s">
        <v>111</v>
      </c>
      <c r="I24" s="14"/>
      <c r="J24" s="11"/>
      <c r="K24" s="1"/>
      <c r="L24" s="5" t="s">
        <v>6</v>
      </c>
      <c r="M24" s="1"/>
      <c r="N24" s="5" t="s">
        <v>38</v>
      </c>
    </row>
    <row r="25" spans="2:15" ht="14.4" customHeight="1" thickBot="1" x14ac:dyDescent="0.35">
      <c r="B25" s="32"/>
      <c r="C25" s="2"/>
      <c r="D25" s="6"/>
      <c r="E25" s="6"/>
      <c r="F25" s="6"/>
      <c r="G25" s="6"/>
      <c r="H25" s="19" t="s">
        <v>199</v>
      </c>
      <c r="I25" s="21" t="s">
        <v>206</v>
      </c>
      <c r="J25" s="30"/>
      <c r="K25" s="2"/>
      <c r="L25" s="6" t="s">
        <v>176</v>
      </c>
      <c r="M25" s="2"/>
      <c r="N25" s="6" t="s">
        <v>41</v>
      </c>
    </row>
    <row r="26" spans="2:15" ht="14.4" customHeight="1" thickBot="1" x14ac:dyDescent="0.35">
      <c r="B26" s="33"/>
      <c r="C26" s="3"/>
      <c r="D26" s="7"/>
      <c r="E26" s="7"/>
      <c r="F26" s="7"/>
      <c r="G26" s="7"/>
      <c r="H26" s="19" t="s">
        <v>200</v>
      </c>
      <c r="I26" s="21" t="s">
        <v>206</v>
      </c>
      <c r="J26" s="10"/>
      <c r="K26" s="3"/>
      <c r="L26" s="7" t="s">
        <v>31</v>
      </c>
      <c r="M26" s="3"/>
      <c r="N26" s="7" t="s">
        <v>39</v>
      </c>
      <c r="O26" s="29"/>
    </row>
    <row r="27" spans="2:15" ht="15" thickBot="1" x14ac:dyDescent="0.35">
      <c r="B27" s="28" t="s">
        <v>97</v>
      </c>
      <c r="C27" s="4" t="s">
        <v>76</v>
      </c>
      <c r="D27" s="8" t="s">
        <v>156</v>
      </c>
      <c r="E27" s="8">
        <v>8</v>
      </c>
      <c r="F27" s="8">
        <v>16</v>
      </c>
      <c r="G27" s="8" t="s">
        <v>159</v>
      </c>
      <c r="H27" s="13" t="s">
        <v>111</v>
      </c>
      <c r="I27" s="14"/>
      <c r="J27" s="13"/>
      <c r="K27" s="4"/>
      <c r="L27" s="8" t="s">
        <v>7</v>
      </c>
      <c r="M27" s="4"/>
      <c r="N27" s="8" t="s">
        <v>38</v>
      </c>
    </row>
    <row r="28" spans="2:15" ht="15" thickBot="1" x14ac:dyDescent="0.35">
      <c r="B28" s="28" t="s">
        <v>98</v>
      </c>
      <c r="C28" s="4" t="s">
        <v>76</v>
      </c>
      <c r="D28" s="8" t="s">
        <v>157</v>
      </c>
      <c r="E28" s="8">
        <v>8</v>
      </c>
      <c r="F28" s="8">
        <v>16</v>
      </c>
      <c r="G28" s="8" t="s">
        <v>159</v>
      </c>
      <c r="H28" s="13" t="s">
        <v>111</v>
      </c>
      <c r="I28" s="14"/>
      <c r="J28" s="13"/>
      <c r="K28" s="4"/>
      <c r="L28" s="8" t="s">
        <v>8</v>
      </c>
      <c r="M28" s="4"/>
      <c r="N28" s="8" t="s">
        <v>38</v>
      </c>
    </row>
    <row r="29" spans="2:15" ht="15" thickBot="1" x14ac:dyDescent="0.35">
      <c r="B29" s="28" t="s">
        <v>99</v>
      </c>
      <c r="C29" s="4" t="s">
        <v>76</v>
      </c>
      <c r="D29" s="8" t="s">
        <v>158</v>
      </c>
      <c r="E29" s="8">
        <v>8</v>
      </c>
      <c r="F29" s="8">
        <v>16</v>
      </c>
      <c r="G29" s="8" t="s">
        <v>159</v>
      </c>
      <c r="H29" s="13" t="s">
        <v>111</v>
      </c>
      <c r="I29" s="14"/>
      <c r="J29" s="13"/>
      <c r="K29" s="4"/>
      <c r="L29" s="8" t="s">
        <v>9</v>
      </c>
      <c r="M29" s="4"/>
      <c r="N29" s="8" t="s">
        <v>38</v>
      </c>
    </row>
    <row r="30" spans="2:15" ht="15" thickBot="1" x14ac:dyDescent="0.35">
      <c r="B30" s="28" t="s">
        <v>100</v>
      </c>
      <c r="C30" s="4" t="s">
        <v>76</v>
      </c>
      <c r="D30" s="8" t="s">
        <v>162</v>
      </c>
      <c r="E30" s="8">
        <v>8</v>
      </c>
      <c r="F30" s="8">
        <v>32</v>
      </c>
      <c r="G30" s="8" t="s">
        <v>159</v>
      </c>
      <c r="H30" s="13" t="s">
        <v>111</v>
      </c>
      <c r="I30" s="14"/>
      <c r="J30" s="13"/>
      <c r="K30" s="4"/>
      <c r="L30" s="8" t="s">
        <v>10</v>
      </c>
      <c r="M30" s="4"/>
      <c r="N30" s="8" t="s">
        <v>38</v>
      </c>
    </row>
    <row r="31" spans="2:15" ht="15" thickBot="1" x14ac:dyDescent="0.35">
      <c r="B31" s="28" t="s">
        <v>101</v>
      </c>
      <c r="C31" s="4" t="s">
        <v>76</v>
      </c>
      <c r="D31" s="8" t="s">
        <v>162</v>
      </c>
      <c r="E31" s="8">
        <v>8</v>
      </c>
      <c r="F31" s="8">
        <v>32</v>
      </c>
      <c r="G31" s="8" t="s">
        <v>159</v>
      </c>
      <c r="H31" s="13" t="s">
        <v>111</v>
      </c>
      <c r="I31" s="14"/>
      <c r="J31" s="13"/>
      <c r="K31" s="4"/>
      <c r="L31" s="8" t="s">
        <v>11</v>
      </c>
      <c r="M31" s="4"/>
      <c r="N31" s="8" t="s">
        <v>38</v>
      </c>
    </row>
    <row r="32" spans="2:15" ht="15" thickBot="1" x14ac:dyDescent="0.35">
      <c r="B32" s="28" t="s">
        <v>102</v>
      </c>
      <c r="C32" s="4" t="s">
        <v>76</v>
      </c>
      <c r="D32" s="8" t="s">
        <v>162</v>
      </c>
      <c r="E32" s="8">
        <v>8</v>
      </c>
      <c r="F32" s="8">
        <v>32</v>
      </c>
      <c r="G32" s="8" t="s">
        <v>159</v>
      </c>
      <c r="H32" s="13" t="s">
        <v>111</v>
      </c>
      <c r="I32" s="14"/>
      <c r="J32" s="13"/>
      <c r="K32" s="4"/>
      <c r="L32" s="8" t="s">
        <v>12</v>
      </c>
      <c r="M32" s="4"/>
      <c r="N32" s="8" t="s">
        <v>38</v>
      </c>
    </row>
    <row r="33" spans="2:15" ht="15" thickBot="1" x14ac:dyDescent="0.35">
      <c r="B33" s="28" t="s">
        <v>103</v>
      </c>
      <c r="C33" s="4" t="s">
        <v>76</v>
      </c>
      <c r="D33" s="8" t="s">
        <v>160</v>
      </c>
      <c r="E33" s="8">
        <v>16</v>
      </c>
      <c r="F33" s="8">
        <v>128</v>
      </c>
      <c r="G33" s="8" t="s">
        <v>159</v>
      </c>
      <c r="H33" s="13" t="s">
        <v>111</v>
      </c>
      <c r="I33" s="14"/>
      <c r="J33" s="13"/>
      <c r="K33" s="4"/>
      <c r="L33" s="8" t="s">
        <v>13</v>
      </c>
      <c r="M33" s="4"/>
      <c r="N33" s="8" t="s">
        <v>38</v>
      </c>
    </row>
    <row r="34" spans="2:15" ht="15" thickBot="1" x14ac:dyDescent="0.35">
      <c r="B34" s="28" t="s">
        <v>104</v>
      </c>
      <c r="C34" s="4" t="s">
        <v>76</v>
      </c>
      <c r="D34" s="8" t="s">
        <v>160</v>
      </c>
      <c r="E34" s="8">
        <v>16</v>
      </c>
      <c r="F34" s="8">
        <v>128</v>
      </c>
      <c r="G34" s="8" t="s">
        <v>159</v>
      </c>
      <c r="H34" s="13" t="s">
        <v>111</v>
      </c>
      <c r="I34" s="14"/>
      <c r="J34" s="13"/>
      <c r="K34" s="4"/>
      <c r="L34" s="8" t="s">
        <v>14</v>
      </c>
      <c r="M34" s="4"/>
      <c r="N34" s="8" t="s">
        <v>38</v>
      </c>
    </row>
    <row r="35" spans="2:15" ht="15" thickBot="1" x14ac:dyDescent="0.35">
      <c r="B35" s="28" t="s">
        <v>105</v>
      </c>
      <c r="C35" s="4" t="s">
        <v>76</v>
      </c>
      <c r="D35" s="8" t="s">
        <v>161</v>
      </c>
      <c r="E35" s="8">
        <v>8</v>
      </c>
      <c r="F35" s="8">
        <v>32</v>
      </c>
      <c r="G35" s="8" t="s">
        <v>159</v>
      </c>
      <c r="H35" s="13" t="s">
        <v>111</v>
      </c>
      <c r="I35" s="14"/>
      <c r="J35" s="13"/>
      <c r="K35" s="4"/>
      <c r="L35" s="8" t="s">
        <v>15</v>
      </c>
      <c r="M35" s="4"/>
      <c r="N35" s="8" t="s">
        <v>38</v>
      </c>
    </row>
    <row r="36" spans="2:15" ht="15" thickBot="1" x14ac:dyDescent="0.35">
      <c r="B36" s="37" t="s">
        <v>106</v>
      </c>
      <c r="C36" s="1" t="s">
        <v>76</v>
      </c>
      <c r="D36" s="5" t="s">
        <v>164</v>
      </c>
      <c r="E36" s="5">
        <v>8</v>
      </c>
      <c r="F36" s="5">
        <v>16</v>
      </c>
      <c r="G36" s="5" t="s">
        <v>159</v>
      </c>
      <c r="H36" s="13" t="s">
        <v>111</v>
      </c>
      <c r="I36" s="14"/>
      <c r="J36" s="11"/>
      <c r="K36" s="1"/>
      <c r="L36" s="5" t="s">
        <v>16</v>
      </c>
      <c r="M36" s="1"/>
      <c r="N36" s="5" t="s">
        <v>38</v>
      </c>
    </row>
    <row r="37" spans="2:15" ht="15" thickBot="1" x14ac:dyDescent="0.35">
      <c r="B37" s="38"/>
      <c r="C37" s="3"/>
      <c r="D37" s="7"/>
      <c r="E37" s="7"/>
      <c r="F37" s="7"/>
      <c r="G37" s="7"/>
      <c r="H37" s="19" t="s">
        <v>201</v>
      </c>
      <c r="I37" s="21" t="s">
        <v>206</v>
      </c>
      <c r="J37" s="10"/>
      <c r="K37" s="3"/>
      <c r="L37" s="7" t="s">
        <v>32</v>
      </c>
      <c r="M37" s="3"/>
      <c r="N37" s="7" t="s">
        <v>41</v>
      </c>
    </row>
    <row r="38" spans="2:15" ht="15" thickBot="1" x14ac:dyDescent="0.35">
      <c r="B38" s="37" t="s">
        <v>107</v>
      </c>
      <c r="C38" s="1" t="s">
        <v>76</v>
      </c>
      <c r="D38" s="5" t="s">
        <v>163</v>
      </c>
      <c r="E38" s="5">
        <v>2</v>
      </c>
      <c r="F38" s="5">
        <v>8</v>
      </c>
      <c r="G38" s="5" t="s">
        <v>159</v>
      </c>
      <c r="H38" s="13" t="s">
        <v>111</v>
      </c>
      <c r="I38" s="14"/>
      <c r="J38" s="11"/>
      <c r="K38" s="1"/>
      <c r="L38" s="5" t="s">
        <v>33</v>
      </c>
      <c r="M38" s="1"/>
      <c r="N38" s="5" t="s">
        <v>38</v>
      </c>
    </row>
    <row r="39" spans="2:15" ht="15" thickBot="1" x14ac:dyDescent="0.35">
      <c r="B39" s="38"/>
      <c r="C39" s="3"/>
      <c r="D39" s="7"/>
      <c r="E39" s="7"/>
      <c r="F39" s="7"/>
      <c r="G39" s="7"/>
      <c r="H39" s="19" t="s">
        <v>202</v>
      </c>
      <c r="I39" s="21" t="s">
        <v>206</v>
      </c>
      <c r="J39" s="10"/>
      <c r="K39" s="3"/>
      <c r="L39" s="7" t="s">
        <v>34</v>
      </c>
      <c r="M39" s="3"/>
      <c r="N39" s="7" t="s">
        <v>41</v>
      </c>
      <c r="O39" t="s">
        <v>141</v>
      </c>
    </row>
    <row r="40" spans="2:15" ht="15" thickBot="1" x14ac:dyDescent="0.35">
      <c r="B40" s="34" t="s">
        <v>108</v>
      </c>
      <c r="C40" s="1" t="s">
        <v>76</v>
      </c>
      <c r="D40" s="5" t="s">
        <v>163</v>
      </c>
      <c r="E40" s="5">
        <v>2</v>
      </c>
      <c r="F40" s="5">
        <v>8</v>
      </c>
      <c r="G40" s="5" t="s">
        <v>159</v>
      </c>
      <c r="H40" s="13" t="s">
        <v>111</v>
      </c>
      <c r="I40" s="14"/>
      <c r="J40" s="11"/>
      <c r="K40" s="1"/>
      <c r="L40" s="5" t="s">
        <v>35</v>
      </c>
      <c r="M40" s="1"/>
      <c r="N40" s="5" t="s">
        <v>38</v>
      </c>
    </row>
    <row r="41" spans="2:15" ht="15" thickBot="1" x14ac:dyDescent="0.35">
      <c r="B41" s="36"/>
      <c r="C41" s="3"/>
      <c r="D41" s="7"/>
      <c r="E41" s="7"/>
      <c r="F41" s="7"/>
      <c r="G41" s="7"/>
      <c r="H41" s="19" t="s">
        <v>203</v>
      </c>
      <c r="I41" s="21" t="s">
        <v>206</v>
      </c>
      <c r="J41" s="10"/>
      <c r="K41" s="3"/>
      <c r="L41" s="7" t="s">
        <v>36</v>
      </c>
      <c r="M41" s="3"/>
      <c r="N41" s="7" t="s">
        <v>41</v>
      </c>
      <c r="O41" t="s">
        <v>141</v>
      </c>
    </row>
    <row r="42" spans="2:15" ht="15" thickBot="1" x14ac:dyDescent="0.35">
      <c r="B42" s="34" t="s">
        <v>109</v>
      </c>
      <c r="C42" s="1" t="s">
        <v>75</v>
      </c>
      <c r="D42" s="5"/>
      <c r="E42" s="5"/>
      <c r="F42" s="5"/>
      <c r="G42" s="5"/>
      <c r="H42" s="19" t="s">
        <v>204</v>
      </c>
      <c r="I42" s="21" t="s">
        <v>206</v>
      </c>
      <c r="J42" s="10"/>
      <c r="K42" s="1"/>
      <c r="L42" s="5" t="s">
        <v>43</v>
      </c>
      <c r="M42" s="1"/>
      <c r="N42" s="23" t="s">
        <v>41</v>
      </c>
    </row>
    <row r="43" spans="2:15" ht="15" thickBot="1" x14ac:dyDescent="0.35">
      <c r="B43" s="35"/>
      <c r="C43" s="2"/>
      <c r="D43" s="6"/>
      <c r="E43" s="6"/>
      <c r="F43" s="6"/>
      <c r="G43" s="6"/>
      <c r="H43" s="19" t="s">
        <v>205</v>
      </c>
      <c r="I43" s="21" t="s">
        <v>206</v>
      </c>
      <c r="J43" s="10"/>
      <c r="K43" s="2"/>
      <c r="L43" s="6" t="s">
        <v>74</v>
      </c>
      <c r="M43" s="2"/>
      <c r="N43" s="6" t="s">
        <v>47</v>
      </c>
    </row>
    <row r="44" spans="2:15" ht="15" thickBot="1" x14ac:dyDescent="0.35">
      <c r="B44" s="36"/>
      <c r="C44" s="3"/>
      <c r="D44" s="7"/>
      <c r="E44" s="7"/>
      <c r="F44" s="7"/>
      <c r="G44" s="7"/>
      <c r="H44" s="13" t="s">
        <v>112</v>
      </c>
      <c r="I44" s="14"/>
      <c r="J44" s="22"/>
      <c r="K44" s="3"/>
      <c r="L44" s="7" t="s">
        <v>81</v>
      </c>
      <c r="M44" s="3"/>
      <c r="N44" s="7" t="s">
        <v>42</v>
      </c>
    </row>
    <row r="45" spans="2:15" x14ac:dyDescent="0.3">
      <c r="I45" t="s">
        <v>118</v>
      </c>
      <c r="K45" t="s">
        <v>179</v>
      </c>
    </row>
    <row r="46" spans="2:15" x14ac:dyDescent="0.3">
      <c r="B46" t="s">
        <v>79</v>
      </c>
      <c r="I46">
        <f>COUNTIF($N$3:$N$44,J46)</f>
        <v>19</v>
      </c>
      <c r="J46" t="s">
        <v>113</v>
      </c>
      <c r="K46">
        <v>352</v>
      </c>
    </row>
    <row r="47" spans="2:15" x14ac:dyDescent="0.3">
      <c r="B47" t="s">
        <v>80</v>
      </c>
      <c r="I47">
        <f t="shared" ref="I47:I51" si="0">COUNTIF($N$3:$N$44,J47)</f>
        <v>3</v>
      </c>
      <c r="J47" t="s">
        <v>114</v>
      </c>
      <c r="K47">
        <v>1031</v>
      </c>
      <c r="L47" t="s">
        <v>180</v>
      </c>
    </row>
    <row r="48" spans="2:15" x14ac:dyDescent="0.3">
      <c r="B48" t="s">
        <v>83</v>
      </c>
      <c r="I48">
        <f t="shared" si="0"/>
        <v>11</v>
      </c>
      <c r="J48" t="s">
        <v>115</v>
      </c>
      <c r="K48">
        <v>1032</v>
      </c>
      <c r="L48" t="s">
        <v>181</v>
      </c>
    </row>
    <row r="49" spans="2:12" x14ac:dyDescent="0.3">
      <c r="B49" t="s">
        <v>82</v>
      </c>
      <c r="I49">
        <f t="shared" si="0"/>
        <v>4</v>
      </c>
      <c r="J49" t="s">
        <v>91</v>
      </c>
      <c r="K49">
        <v>354</v>
      </c>
    </row>
    <row r="50" spans="2:12" x14ac:dyDescent="0.3">
      <c r="B50" t="s">
        <v>84</v>
      </c>
      <c r="I50">
        <f t="shared" si="0"/>
        <v>4</v>
      </c>
      <c r="J50" t="s">
        <v>116</v>
      </c>
      <c r="K50">
        <v>1033</v>
      </c>
      <c r="L50" t="s">
        <v>182</v>
      </c>
    </row>
    <row r="51" spans="2:12" x14ac:dyDescent="0.3">
      <c r="B51" t="s">
        <v>85</v>
      </c>
      <c r="I51">
        <f t="shared" si="0"/>
        <v>1</v>
      </c>
      <c r="J51" t="s">
        <v>117</v>
      </c>
      <c r="K51">
        <v>1034</v>
      </c>
      <c r="L51" t="s">
        <v>183</v>
      </c>
    </row>
    <row r="53" spans="2:12" x14ac:dyDescent="0.3">
      <c r="I53">
        <f>SUM(I46:I52)</f>
        <v>42</v>
      </c>
    </row>
  </sheetData>
  <mergeCells count="11">
    <mergeCell ref="B24:B26"/>
    <mergeCell ref="B36:B37"/>
    <mergeCell ref="B38:B39"/>
    <mergeCell ref="B40:B41"/>
    <mergeCell ref="B42:B44"/>
    <mergeCell ref="B21:B23"/>
    <mergeCell ref="B3:B6"/>
    <mergeCell ref="B7:B10"/>
    <mergeCell ref="B11:B14"/>
    <mergeCell ref="B15:B17"/>
    <mergeCell ref="B18:B20"/>
  </mergeCells>
  <phoneticPr fontId="3" type="noConversion"/>
  <pageMargins left="0.7" right="0.7" top="0.75" bottom="0.75" header="0.3" footer="0.3"/>
  <pageSetup paperSize="9"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O36"/>
  <sheetViews>
    <sheetView topLeftCell="A3" zoomScale="55" zoomScaleNormal="55" workbookViewId="0">
      <selection activeCell="K29" sqref="K29"/>
    </sheetView>
  </sheetViews>
  <sheetFormatPr defaultRowHeight="14.5" x14ac:dyDescent="0.3"/>
  <cols>
    <col min="2" max="2" width="24.69921875" customWidth="1"/>
    <col min="4" max="4" width="31.09765625" customWidth="1"/>
    <col min="8" max="8" width="19.8984375" customWidth="1"/>
    <col min="9" max="9" width="14.3984375" customWidth="1"/>
    <col min="10" max="10" width="33.296875" customWidth="1"/>
    <col min="11" max="11" width="7.8984375" bestFit="1" customWidth="1"/>
    <col min="12" max="12" width="73.69921875" bestFit="1" customWidth="1"/>
    <col min="13" max="13" width="5.296875" customWidth="1"/>
  </cols>
  <sheetData>
    <row r="1" spans="2:15" ht="15" thickBot="1" x14ac:dyDescent="0.35"/>
    <row r="2" spans="2:15" ht="15.5" thickBot="1" x14ac:dyDescent="0.4">
      <c r="B2" s="15" t="s">
        <v>0</v>
      </c>
      <c r="C2" s="16" t="s">
        <v>1</v>
      </c>
      <c r="D2" s="16" t="s">
        <v>143</v>
      </c>
      <c r="E2" s="16" t="s">
        <v>144</v>
      </c>
      <c r="F2" s="16" t="s">
        <v>145</v>
      </c>
      <c r="G2" s="16" t="s">
        <v>149</v>
      </c>
      <c r="H2" s="16" t="s">
        <v>2</v>
      </c>
      <c r="I2" s="17" t="s">
        <v>3</v>
      </c>
      <c r="J2" s="16" t="s">
        <v>4</v>
      </c>
      <c r="K2" s="17"/>
      <c r="L2" s="16" t="s">
        <v>37</v>
      </c>
      <c r="M2" s="17"/>
      <c r="N2" s="16" t="s">
        <v>50</v>
      </c>
    </row>
    <row r="3" spans="2:15" ht="15" thickBot="1" x14ac:dyDescent="0.35">
      <c r="B3" s="34" t="s">
        <v>125</v>
      </c>
      <c r="C3" s="1" t="s">
        <v>75</v>
      </c>
      <c r="D3" s="5"/>
      <c r="E3" s="5" t="s">
        <v>165</v>
      </c>
      <c r="F3" s="5" t="s">
        <v>166</v>
      </c>
      <c r="G3" s="5" t="s">
        <v>148</v>
      </c>
      <c r="H3" s="11" t="s">
        <v>111</v>
      </c>
      <c r="I3" s="12"/>
      <c r="J3" s="11"/>
      <c r="K3" s="1"/>
      <c r="L3" s="5" t="s">
        <v>52</v>
      </c>
      <c r="M3" s="1"/>
      <c r="N3" s="5" t="s">
        <v>48</v>
      </c>
    </row>
    <row r="4" spans="2:15" ht="15" thickBot="1" x14ac:dyDescent="0.35">
      <c r="B4" s="35"/>
      <c r="C4" s="2"/>
      <c r="D4" s="6"/>
      <c r="E4" s="6"/>
      <c r="F4" s="6"/>
      <c r="G4" s="6"/>
      <c r="H4" s="19" t="s">
        <v>207</v>
      </c>
      <c r="I4" s="24" t="s">
        <v>206</v>
      </c>
      <c r="J4" s="9"/>
      <c r="K4" s="2"/>
      <c r="L4" s="6" t="s">
        <v>53</v>
      </c>
      <c r="M4" s="2"/>
      <c r="N4" s="6" t="s">
        <v>49</v>
      </c>
    </row>
    <row r="5" spans="2:15" ht="15" thickBot="1" x14ac:dyDescent="0.35">
      <c r="B5" s="36"/>
      <c r="C5" s="3"/>
      <c r="D5" s="7"/>
      <c r="E5" s="7"/>
      <c r="F5" s="7"/>
      <c r="G5" s="7"/>
      <c r="H5" s="20" t="s">
        <v>112</v>
      </c>
      <c r="I5" s="25"/>
      <c r="J5" s="22"/>
      <c r="K5" s="3"/>
      <c r="L5" s="7" t="s">
        <v>54</v>
      </c>
      <c r="M5" s="3"/>
      <c r="N5" s="7" t="s">
        <v>51</v>
      </c>
    </row>
    <row r="6" spans="2:15" ht="15" thickBot="1" x14ac:dyDescent="0.35">
      <c r="B6" s="34" t="s">
        <v>126</v>
      </c>
      <c r="C6" s="1" t="s">
        <v>76</v>
      </c>
      <c r="D6" s="5"/>
      <c r="E6" s="5">
        <v>8</v>
      </c>
      <c r="F6" s="5">
        <v>32</v>
      </c>
      <c r="G6" s="5" t="s">
        <v>167</v>
      </c>
      <c r="H6" s="11" t="s">
        <v>111</v>
      </c>
      <c r="I6" s="14"/>
      <c r="J6" s="11"/>
      <c r="K6" s="1"/>
      <c r="L6" s="5" t="s">
        <v>55</v>
      </c>
      <c r="M6" s="1"/>
      <c r="N6" s="5" t="s">
        <v>48</v>
      </c>
    </row>
    <row r="7" spans="2:15" ht="15" thickBot="1" x14ac:dyDescent="0.35">
      <c r="B7" s="35"/>
      <c r="C7" s="2"/>
      <c r="D7" s="6"/>
      <c r="E7" s="6"/>
      <c r="F7" s="6"/>
      <c r="G7" s="6"/>
      <c r="H7" s="19" t="s">
        <v>208</v>
      </c>
      <c r="I7" s="24" t="s">
        <v>206</v>
      </c>
      <c r="J7" s="30"/>
      <c r="K7" s="2"/>
      <c r="L7" s="6" t="s">
        <v>177</v>
      </c>
      <c r="M7" s="2"/>
      <c r="N7" s="6" t="s">
        <v>49</v>
      </c>
    </row>
    <row r="8" spans="2:15" ht="15" thickBot="1" x14ac:dyDescent="0.35">
      <c r="B8" s="36"/>
      <c r="C8" s="3"/>
      <c r="D8" s="7"/>
      <c r="E8" s="7"/>
      <c r="F8" s="7"/>
      <c r="G8" s="7"/>
      <c r="H8" s="19" t="s">
        <v>209</v>
      </c>
      <c r="I8" s="24" t="s">
        <v>206</v>
      </c>
      <c r="J8" s="10"/>
      <c r="K8" s="3"/>
      <c r="L8" s="7" t="s">
        <v>56</v>
      </c>
      <c r="M8" s="3"/>
      <c r="N8" s="7" t="s">
        <v>72</v>
      </c>
      <c r="O8" s="29"/>
    </row>
    <row r="9" spans="2:15" ht="15" thickBot="1" x14ac:dyDescent="0.35">
      <c r="B9" s="39" t="s">
        <v>138</v>
      </c>
      <c r="C9" s="1" t="s">
        <v>76</v>
      </c>
      <c r="D9" s="5"/>
      <c r="E9" s="5">
        <v>2</v>
      </c>
      <c r="F9" s="5">
        <v>8</v>
      </c>
      <c r="G9" s="5" t="s">
        <v>168</v>
      </c>
      <c r="H9" s="13" t="s">
        <v>111</v>
      </c>
      <c r="I9" s="14"/>
      <c r="J9" s="11"/>
      <c r="K9" s="1"/>
      <c r="L9" s="5" t="s">
        <v>57</v>
      </c>
      <c r="M9" s="1"/>
      <c r="N9" s="5" t="s">
        <v>48</v>
      </c>
    </row>
    <row r="10" spans="2:15" ht="15" thickBot="1" x14ac:dyDescent="0.35">
      <c r="B10" s="40"/>
      <c r="C10" s="2"/>
      <c r="D10" s="6"/>
      <c r="E10" s="6"/>
      <c r="F10" s="6"/>
      <c r="G10" s="6"/>
      <c r="H10" s="19" t="s">
        <v>210</v>
      </c>
      <c r="I10" s="24" t="s">
        <v>206</v>
      </c>
      <c r="J10" s="30"/>
      <c r="K10" s="2"/>
      <c r="L10" s="6" t="s">
        <v>178</v>
      </c>
      <c r="M10" s="2"/>
      <c r="N10" s="6" t="s">
        <v>49</v>
      </c>
    </row>
    <row r="11" spans="2:15" ht="15" thickBot="1" x14ac:dyDescent="0.35">
      <c r="B11" s="41"/>
      <c r="C11" s="3"/>
      <c r="D11" s="7"/>
      <c r="E11" s="7"/>
      <c r="F11" s="7"/>
      <c r="G11" s="7"/>
      <c r="H11" s="19" t="s">
        <v>211</v>
      </c>
      <c r="I11" s="24" t="s">
        <v>206</v>
      </c>
      <c r="J11" s="10"/>
      <c r="K11" s="3"/>
      <c r="L11" s="7" t="s">
        <v>58</v>
      </c>
      <c r="M11" s="3"/>
      <c r="N11" s="7" t="s">
        <v>72</v>
      </c>
      <c r="O11" s="29"/>
    </row>
    <row r="12" spans="2:15" ht="15" thickBot="1" x14ac:dyDescent="0.35">
      <c r="B12" s="27" t="s">
        <v>135</v>
      </c>
      <c r="C12" s="4" t="s">
        <v>76</v>
      </c>
      <c r="D12" s="8" t="s">
        <v>169</v>
      </c>
      <c r="E12" s="8">
        <v>8</v>
      </c>
      <c r="F12" s="8">
        <v>16</v>
      </c>
      <c r="G12" s="8" t="s">
        <v>159</v>
      </c>
      <c r="H12" s="13" t="s">
        <v>111</v>
      </c>
      <c r="I12" s="14"/>
      <c r="J12" s="13"/>
      <c r="K12" s="4"/>
      <c r="L12" s="8" t="s">
        <v>59</v>
      </c>
      <c r="M12" s="4"/>
      <c r="N12" s="8" t="s">
        <v>48</v>
      </c>
    </row>
    <row r="13" spans="2:15" ht="15" thickBot="1" x14ac:dyDescent="0.35">
      <c r="B13" s="27" t="s">
        <v>136</v>
      </c>
      <c r="C13" s="4" t="s">
        <v>76</v>
      </c>
      <c r="D13" s="8" t="s">
        <v>157</v>
      </c>
      <c r="E13" s="8">
        <v>8</v>
      </c>
      <c r="F13" s="8">
        <v>16</v>
      </c>
      <c r="G13" s="8" t="s">
        <v>159</v>
      </c>
      <c r="H13" s="13" t="s">
        <v>111</v>
      </c>
      <c r="I13" s="14"/>
      <c r="J13" s="13"/>
      <c r="K13" s="4"/>
      <c r="L13" s="8" t="s">
        <v>60</v>
      </c>
      <c r="M13" s="4"/>
      <c r="N13" s="8" t="s">
        <v>48</v>
      </c>
    </row>
    <row r="14" spans="2:15" ht="15" thickBot="1" x14ac:dyDescent="0.35">
      <c r="B14" s="27" t="s">
        <v>137</v>
      </c>
      <c r="C14" s="4" t="s">
        <v>76</v>
      </c>
      <c r="D14" s="8" t="s">
        <v>158</v>
      </c>
      <c r="E14" s="8">
        <v>8</v>
      </c>
      <c r="F14" s="8">
        <v>16</v>
      </c>
      <c r="G14" s="8" t="s">
        <v>159</v>
      </c>
      <c r="H14" s="13" t="s">
        <v>111</v>
      </c>
      <c r="I14" s="14"/>
      <c r="J14" s="13"/>
      <c r="K14" s="4"/>
      <c r="L14" s="8" t="s">
        <v>61</v>
      </c>
      <c r="M14" s="4"/>
      <c r="N14" s="8" t="s">
        <v>48</v>
      </c>
    </row>
    <row r="15" spans="2:15" ht="15" thickBot="1" x14ac:dyDescent="0.35">
      <c r="B15" s="27" t="s">
        <v>129</v>
      </c>
      <c r="C15" s="4" t="s">
        <v>76</v>
      </c>
      <c r="D15" s="8" t="s">
        <v>170</v>
      </c>
      <c r="E15" s="8">
        <v>8</v>
      </c>
      <c r="F15" s="8">
        <v>16</v>
      </c>
      <c r="G15" s="8" t="s">
        <v>159</v>
      </c>
      <c r="H15" s="13" t="s">
        <v>111</v>
      </c>
      <c r="I15" s="14"/>
      <c r="J15" s="13"/>
      <c r="K15" s="4"/>
      <c r="L15" s="8" t="s">
        <v>62</v>
      </c>
      <c r="M15" s="4"/>
      <c r="N15" s="8" t="s">
        <v>48</v>
      </c>
    </row>
    <row r="16" spans="2:15" ht="15" thickBot="1" x14ac:dyDescent="0.35">
      <c r="B16" s="27" t="s">
        <v>130</v>
      </c>
      <c r="C16" s="4" t="s">
        <v>76</v>
      </c>
      <c r="D16" s="8" t="s">
        <v>170</v>
      </c>
      <c r="E16" s="8">
        <v>8</v>
      </c>
      <c r="F16" s="8">
        <v>16</v>
      </c>
      <c r="G16" s="8" t="s">
        <v>159</v>
      </c>
      <c r="H16" s="13" t="s">
        <v>111</v>
      </c>
      <c r="I16" s="14"/>
      <c r="J16" s="13"/>
      <c r="K16" s="4"/>
      <c r="L16" s="8" t="s">
        <v>63</v>
      </c>
      <c r="M16" s="4"/>
      <c r="N16" s="8" t="s">
        <v>48</v>
      </c>
    </row>
    <row r="17" spans="2:15" ht="15" thickBot="1" x14ac:dyDescent="0.35">
      <c r="B17" s="27" t="s">
        <v>131</v>
      </c>
      <c r="C17" s="4" t="s">
        <v>76</v>
      </c>
      <c r="D17" s="8" t="s">
        <v>170</v>
      </c>
      <c r="E17" s="8">
        <v>8</v>
      </c>
      <c r="F17" s="8">
        <v>16</v>
      </c>
      <c r="G17" s="8" t="s">
        <v>159</v>
      </c>
      <c r="H17" s="13" t="s">
        <v>111</v>
      </c>
      <c r="I17" s="14"/>
      <c r="J17" s="13"/>
      <c r="K17" s="4"/>
      <c r="L17" s="8" t="s">
        <v>64</v>
      </c>
      <c r="M17" s="4"/>
      <c r="N17" s="8" t="s">
        <v>48</v>
      </c>
    </row>
    <row r="18" spans="2:15" ht="15" thickBot="1" x14ac:dyDescent="0.35">
      <c r="B18" s="27" t="s">
        <v>132</v>
      </c>
      <c r="C18" s="4" t="s">
        <v>76</v>
      </c>
      <c r="D18" s="8" t="s">
        <v>171</v>
      </c>
      <c r="E18" s="8">
        <v>8</v>
      </c>
      <c r="F18" s="8">
        <v>64</v>
      </c>
      <c r="G18" s="8" t="s">
        <v>159</v>
      </c>
      <c r="H18" s="13" t="s">
        <v>111</v>
      </c>
      <c r="I18" s="14"/>
      <c r="J18" s="13"/>
      <c r="K18" s="4"/>
      <c r="L18" s="8" t="s">
        <v>65</v>
      </c>
      <c r="M18" s="4"/>
      <c r="N18" s="8" t="s">
        <v>48</v>
      </c>
    </row>
    <row r="19" spans="2:15" ht="15" thickBot="1" x14ac:dyDescent="0.35">
      <c r="B19" s="27" t="s">
        <v>133</v>
      </c>
      <c r="C19" s="4" t="s">
        <v>76</v>
      </c>
      <c r="D19" s="8" t="s">
        <v>171</v>
      </c>
      <c r="E19" s="8">
        <v>8</v>
      </c>
      <c r="F19" s="8">
        <v>64</v>
      </c>
      <c r="G19" s="8" t="s">
        <v>159</v>
      </c>
      <c r="H19" s="13" t="s">
        <v>111</v>
      </c>
      <c r="I19" s="14"/>
      <c r="J19" s="13"/>
      <c r="K19" s="4"/>
      <c r="L19" s="8" t="s">
        <v>66</v>
      </c>
      <c r="M19" s="4"/>
      <c r="N19" s="8" t="s">
        <v>48</v>
      </c>
    </row>
    <row r="20" spans="2:15" ht="15" thickBot="1" x14ac:dyDescent="0.35">
      <c r="B20" s="27" t="s">
        <v>134</v>
      </c>
      <c r="C20" s="4" t="s">
        <v>76</v>
      </c>
      <c r="D20" s="8" t="s">
        <v>172</v>
      </c>
      <c r="E20" s="8">
        <v>8</v>
      </c>
      <c r="F20" s="8">
        <v>64</v>
      </c>
      <c r="G20" s="8" t="s">
        <v>159</v>
      </c>
      <c r="H20" s="13" t="s">
        <v>111</v>
      </c>
      <c r="I20" s="14"/>
      <c r="J20" s="13"/>
      <c r="K20" s="4"/>
      <c r="L20" s="8" t="s">
        <v>67</v>
      </c>
      <c r="M20" s="4"/>
      <c r="N20" s="8" t="s">
        <v>48</v>
      </c>
    </row>
    <row r="21" spans="2:15" ht="15" thickBot="1" x14ac:dyDescent="0.35">
      <c r="B21" s="34" t="s">
        <v>128</v>
      </c>
      <c r="C21" s="1" t="s">
        <v>76</v>
      </c>
      <c r="D21" s="5" t="s">
        <v>164</v>
      </c>
      <c r="E21" s="5">
        <v>8</v>
      </c>
      <c r="F21" s="5">
        <v>16</v>
      </c>
      <c r="G21" s="5" t="s">
        <v>159</v>
      </c>
      <c r="H21" s="13" t="s">
        <v>111</v>
      </c>
      <c r="I21" s="14"/>
      <c r="J21" s="11"/>
      <c r="K21" s="1"/>
      <c r="L21" s="5" t="s">
        <v>68</v>
      </c>
      <c r="M21" s="1"/>
      <c r="N21" s="5" t="s">
        <v>48</v>
      </c>
    </row>
    <row r="22" spans="2:15" ht="15" thickBot="1" x14ac:dyDescent="0.35">
      <c r="B22" s="36"/>
      <c r="C22" s="3"/>
      <c r="D22" s="7"/>
      <c r="E22" s="7"/>
      <c r="F22" s="7"/>
      <c r="G22" s="7"/>
      <c r="H22" s="19" t="s">
        <v>212</v>
      </c>
      <c r="I22" s="24" t="s">
        <v>206</v>
      </c>
      <c r="J22" s="10"/>
      <c r="K22" s="3"/>
      <c r="L22" s="7" t="s">
        <v>69</v>
      </c>
      <c r="M22" s="3"/>
      <c r="N22" s="7" t="s">
        <v>49</v>
      </c>
    </row>
    <row r="23" spans="2:15" ht="15" thickBot="1" x14ac:dyDescent="0.35">
      <c r="B23" s="34" t="s">
        <v>127</v>
      </c>
      <c r="C23" s="1" t="s">
        <v>76</v>
      </c>
      <c r="D23" s="5" t="s">
        <v>163</v>
      </c>
      <c r="E23" s="5">
        <v>2</v>
      </c>
      <c r="F23" s="5">
        <v>8</v>
      </c>
      <c r="G23" s="5" t="s">
        <v>159</v>
      </c>
      <c r="H23" s="13" t="s">
        <v>111</v>
      </c>
      <c r="I23" s="14"/>
      <c r="J23" s="11"/>
      <c r="K23" s="1"/>
      <c r="L23" s="5" t="s">
        <v>77</v>
      </c>
      <c r="M23" s="1"/>
      <c r="N23" s="5" t="s">
        <v>48</v>
      </c>
    </row>
    <row r="24" spans="2:15" ht="15" thickBot="1" x14ac:dyDescent="0.35">
      <c r="B24" s="36"/>
      <c r="C24" s="3"/>
      <c r="D24" s="7"/>
      <c r="E24" s="7"/>
      <c r="F24" s="7"/>
      <c r="G24" s="7"/>
      <c r="H24" s="19" t="s">
        <v>213</v>
      </c>
      <c r="I24" s="24" t="s">
        <v>206</v>
      </c>
      <c r="J24" s="10"/>
      <c r="K24" s="3"/>
      <c r="L24" s="7" t="s">
        <v>78</v>
      </c>
      <c r="M24" s="3"/>
      <c r="N24" s="7" t="s">
        <v>49</v>
      </c>
      <c r="O24" t="s">
        <v>142</v>
      </c>
    </row>
    <row r="25" spans="2:15" ht="15" thickBot="1" x14ac:dyDescent="0.35">
      <c r="B25" s="34" t="s">
        <v>110</v>
      </c>
      <c r="C25" s="1" t="s">
        <v>75</v>
      </c>
      <c r="D25" s="5"/>
      <c r="E25" s="5"/>
      <c r="F25" s="5"/>
      <c r="G25" s="5"/>
      <c r="H25" s="19" t="s">
        <v>214</v>
      </c>
      <c r="I25" s="24" t="s">
        <v>206</v>
      </c>
      <c r="J25" s="10"/>
      <c r="K25" s="1"/>
      <c r="L25" s="5" t="s">
        <v>70</v>
      </c>
      <c r="M25" s="1"/>
      <c r="N25" s="5" t="s">
        <v>49</v>
      </c>
    </row>
    <row r="26" spans="2:15" ht="15" thickBot="1" x14ac:dyDescent="0.35">
      <c r="B26" s="35"/>
      <c r="C26" s="2"/>
      <c r="D26" s="6"/>
      <c r="E26" s="6"/>
      <c r="F26" s="6"/>
      <c r="G26" s="6"/>
      <c r="H26" s="19" t="s">
        <v>215</v>
      </c>
      <c r="I26" s="24" t="s">
        <v>206</v>
      </c>
      <c r="J26" s="10"/>
      <c r="K26" s="2"/>
      <c r="L26" s="6" t="s">
        <v>73</v>
      </c>
      <c r="M26" s="2"/>
      <c r="N26" s="6" t="s">
        <v>47</v>
      </c>
    </row>
    <row r="27" spans="2:15" ht="15" thickBot="1" x14ac:dyDescent="0.35">
      <c r="B27" s="36"/>
      <c r="C27" s="3"/>
      <c r="D27" s="7"/>
      <c r="E27" s="7"/>
      <c r="F27" s="7"/>
      <c r="G27" s="7"/>
      <c r="H27" s="20" t="s">
        <v>112</v>
      </c>
      <c r="I27" s="25"/>
      <c r="J27" s="22"/>
      <c r="K27" s="3"/>
      <c r="L27" s="7" t="s">
        <v>71</v>
      </c>
      <c r="M27" s="3"/>
      <c r="N27" s="18" t="s">
        <v>91</v>
      </c>
    </row>
    <row r="28" spans="2:15" x14ac:dyDescent="0.3">
      <c r="I28" s="26" t="s">
        <v>118</v>
      </c>
      <c r="J28" s="1"/>
      <c r="K28" t="s">
        <v>179</v>
      </c>
    </row>
    <row r="29" spans="2:15" x14ac:dyDescent="0.3">
      <c r="B29" t="s">
        <v>86</v>
      </c>
      <c r="I29">
        <f>COUNTIF($N$3:$N$27,J29)</f>
        <v>14</v>
      </c>
      <c r="J29" t="s">
        <v>119</v>
      </c>
      <c r="K29">
        <v>353</v>
      </c>
    </row>
    <row r="30" spans="2:15" x14ac:dyDescent="0.3">
      <c r="B30" t="s">
        <v>87</v>
      </c>
      <c r="I30">
        <f t="shared" ref="I30:I36" si="0">COUNTIF($N$3:$N$27,J30)</f>
        <v>6</v>
      </c>
      <c r="J30" t="s">
        <v>120</v>
      </c>
      <c r="K30">
        <v>1035</v>
      </c>
      <c r="L30" t="s">
        <v>184</v>
      </c>
    </row>
    <row r="31" spans="2:15" x14ac:dyDescent="0.3">
      <c r="B31" t="s">
        <v>88</v>
      </c>
      <c r="I31">
        <f t="shared" si="0"/>
        <v>1</v>
      </c>
      <c r="J31" t="s">
        <v>121</v>
      </c>
    </row>
    <row r="32" spans="2:15" x14ac:dyDescent="0.3">
      <c r="B32" t="s">
        <v>89</v>
      </c>
      <c r="I32">
        <f t="shared" si="0"/>
        <v>2</v>
      </c>
      <c r="J32" t="s">
        <v>122</v>
      </c>
      <c r="K32">
        <v>1036</v>
      </c>
      <c r="L32" t="s">
        <v>185</v>
      </c>
    </row>
    <row r="33" spans="2:12" x14ac:dyDescent="0.3">
      <c r="B33" t="s">
        <v>90</v>
      </c>
      <c r="I33">
        <f t="shared" si="0"/>
        <v>0</v>
      </c>
      <c r="J33" t="s">
        <v>123</v>
      </c>
      <c r="K33">
        <v>1037</v>
      </c>
      <c r="L33" t="s">
        <v>186</v>
      </c>
    </row>
    <row r="35" spans="2:12" x14ac:dyDescent="0.3">
      <c r="B35" t="s">
        <v>124</v>
      </c>
      <c r="I35">
        <f t="shared" si="0"/>
        <v>1</v>
      </c>
      <c r="J35" t="s">
        <v>91</v>
      </c>
    </row>
    <row r="36" spans="2:12" x14ac:dyDescent="0.3">
      <c r="B36" t="s">
        <v>85</v>
      </c>
      <c r="I36">
        <f t="shared" si="0"/>
        <v>1</v>
      </c>
      <c r="J36" t="s">
        <v>117</v>
      </c>
    </row>
  </sheetData>
  <mergeCells count="6">
    <mergeCell ref="B21:B22"/>
    <mergeCell ref="B23:B24"/>
    <mergeCell ref="B25:B27"/>
    <mergeCell ref="B3:B5"/>
    <mergeCell ref="B6:B8"/>
    <mergeCell ref="B9:B11"/>
  </mergeCells>
  <phoneticPr fontId="3" type="noConversion"/>
  <pageMargins left="0.7" right="0.7" top="0.75" bottom="0.75" header="0.3" footer="0.3"/>
  <pageSetup paperSize="9" scale="67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 </vt:lpstr>
      <vt:lpstr>Non-PROD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YP Chow</dc:creator>
  <cp:lastModifiedBy>King Ho Lau</cp:lastModifiedBy>
  <cp:lastPrinted>2025-10-15T02:59:43Z</cp:lastPrinted>
  <dcterms:created xsi:type="dcterms:W3CDTF">2025-10-14T02:28:20Z</dcterms:created>
  <dcterms:modified xsi:type="dcterms:W3CDTF">2025-10-20T08:09:40Z</dcterms:modified>
</cp:coreProperties>
</file>